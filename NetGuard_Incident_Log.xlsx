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t ky he thong" sheetId="1" state="visible" r:id="rId1"/>
    <sheet xmlns:r="http://schemas.openxmlformats.org/officeDocument/2006/relationships" name="Co so du lieu virus" sheetId="2" state="visible" r:id="rId2"/>
  </sheets>
  <definedNames>
    <definedName name="_xlnm._FilterDatabase" localSheetId="0" hidden="1">'Nhat ky he thong'!$A$1:$H$9</definedName>
    <definedName name="_xlnm._FilterDatabase" localSheetId="1" hidden="1">'Co so du lieu virus'!$A$1:$C$6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cidentLog" displayName="IncidentLog" ref="A1:H9" headerRowCount="1">
  <autoFilter ref="A1:H9"/>
  <tableColumns count="8">
    <tableColumn id="1" name="Thời gian"/>
    <tableColumn id="2" name="Thiết bị"/>
    <tableColumn id="3" name="Mã cảnh báo"/>
    <tableColumn id="4" name="Mã độc (thô)"/>
    <tableColumn id="5" name="Mức độ"/>
    <tableColumn id="6" name="Mã độc chuẩn hóa"/>
    <tableColumn id="7" name="Tên mã độc"/>
    <tableColumn id="8" name="Mô tả / Khuyến nghị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VirusDB" displayName="VirusDB" ref="A1:C6" headerRowCount="1">
  <autoFilter ref="A1:C6"/>
  <tableColumns count="3">
    <tableColumn id="1" name="Mã độc chuẩn"/>
    <tableColumn id="2" name="Tên hiển thị"/>
    <tableColumn id="3" name="Mô tả / Khuyến nghị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  <col width="23" customWidth="1" min="4" max="4"/>
    <col width="16" customWidth="1" min="5" max="5"/>
    <col width="23" customWidth="1" min="6" max="6"/>
    <col width="25" customWidth="1" min="7" max="7"/>
    <col width="65" customWidth="1" min="8" max="8"/>
  </cols>
  <sheetData>
    <row r="1" ht="32" customHeight="1">
      <c r="A1" s="1" t="inlineStr">
        <is>
          <t>Thời gian</t>
        </is>
      </c>
      <c r="B1" s="1" t="inlineStr">
        <is>
          <t>Thiết bị</t>
        </is>
      </c>
      <c r="C1" s="1" t="inlineStr">
        <is>
          <t>Mã cảnh báo</t>
        </is>
      </c>
      <c r="D1" s="1" t="inlineStr">
        <is>
          <t>Mã độc (thô)</t>
        </is>
      </c>
      <c r="E1" s="1" t="inlineStr">
        <is>
          <t>Mức độ</t>
        </is>
      </c>
      <c r="F1" s="1" t="inlineStr">
        <is>
          <t>Mã độc chuẩn hóa</t>
        </is>
      </c>
      <c r="G1" s="1" t="inlineStr">
        <is>
          <t>Tên mã độc</t>
        </is>
      </c>
      <c r="H1" s="1" t="inlineStr">
        <is>
          <t>Mô tả / Khuyến nghị</t>
        </is>
      </c>
    </row>
    <row r="2">
      <c r="A2" s="2" t="inlineStr">
        <is>
          <t>2026-10-20 08:14</t>
        </is>
      </c>
      <c r="B2" s="2" t="inlineStr">
        <is>
          <t>WS-FIN-014</t>
        </is>
      </c>
      <c r="C2" s="2" t="inlineStr">
        <is>
          <t>AL-1001</t>
        </is>
      </c>
      <c r="D2" s="2" t="inlineStr">
        <is>
          <t xml:space="preserve"> Trojan.Emotet  </t>
        </is>
      </c>
      <c r="E2" s="2" t="inlineStr">
        <is>
          <t>Cao</t>
        </is>
      </c>
      <c r="F2" s="2">
        <f>TRIM(D2)</f>
        <v/>
      </c>
      <c r="G2" s="2">
        <f>IFERROR(VLOOKUP(TRIM(D2),'Co so du lieu virus'!$A$2:$C$20,2,FALSE),"Chưa xác định")</f>
        <v/>
      </c>
      <c r="H2" s="2">
        <f>IFERROR(VLOOKUP(TRIM(D2),'Co so du lieu virus'!$A$2:$C$20,3,FALSE),"Cần phân tích bổ sung")</f>
        <v/>
      </c>
    </row>
    <row r="3">
      <c r="A3" s="2" t="inlineStr">
        <is>
          <t>2026-10-20 08:26</t>
        </is>
      </c>
      <c r="B3" s="2" t="inlineStr">
        <is>
          <t>SRV-APP-02</t>
        </is>
      </c>
      <c r="C3" s="2" t="inlineStr">
        <is>
          <t>AL-1002</t>
        </is>
      </c>
      <c r="D3" s="2" t="inlineStr">
        <is>
          <t>Worm.Conficker</t>
        </is>
      </c>
      <c r="E3" s="2" t="inlineStr">
        <is>
          <t>Nghiêm trọng</t>
        </is>
      </c>
      <c r="F3" s="2">
        <f>TRIM(D3)</f>
        <v/>
      </c>
      <c r="G3" s="2">
        <f>IFERROR(VLOOKUP(TRIM(D3),'Co so du lieu virus'!$A$2:$C$20,2,FALSE),"Chưa xác định")</f>
        <v/>
      </c>
      <c r="H3" s="2">
        <f>IFERROR(VLOOKUP(TRIM(D3),'Co so du lieu virus'!$A$2:$C$20,3,FALSE),"Cần phân tích bổ sung")</f>
        <v/>
      </c>
    </row>
    <row r="4">
      <c r="A4" s="2" t="inlineStr">
        <is>
          <t>2026-10-20 09:02</t>
        </is>
      </c>
      <c r="B4" s="2" t="inlineStr">
        <is>
          <t>WS-HR-007</t>
        </is>
      </c>
      <c r="C4" s="2" t="inlineStr">
        <is>
          <t>AL-1003</t>
        </is>
      </c>
      <c r="D4" s="2" t="inlineStr">
        <is>
          <t xml:space="preserve">  Ransom.LockBit</t>
        </is>
      </c>
      <c r="E4" s="2" t="inlineStr">
        <is>
          <t>Nghiêm trọng</t>
        </is>
      </c>
      <c r="F4" s="2">
        <f>TRIM(D4)</f>
        <v/>
      </c>
      <c r="G4" s="2">
        <f>IFERROR(VLOOKUP(TRIM(D4),'Co so du lieu virus'!$A$2:$C$20,2,FALSE),"Chưa xác định")</f>
        <v/>
      </c>
      <c r="H4" s="2">
        <f>IFERROR(VLOOKUP(TRIM(D4),'Co so du lieu virus'!$A$2:$C$20,3,FALSE),"Cần phân tích bổ sung")</f>
        <v/>
      </c>
    </row>
    <row r="5">
      <c r="A5" s="2" t="inlineStr">
        <is>
          <t>2026-10-20 09:31</t>
        </is>
      </c>
      <c r="B5" s="2" t="inlineStr">
        <is>
          <t>WS-SALES-021</t>
        </is>
      </c>
      <c r="C5" s="2" t="inlineStr">
        <is>
          <t>AL-1004</t>
        </is>
      </c>
      <c r="D5" s="2" t="inlineStr">
        <is>
          <t xml:space="preserve">Adware.Generic  </t>
        </is>
      </c>
      <c r="E5" s="2" t="inlineStr">
        <is>
          <t>Trung bình</t>
        </is>
      </c>
      <c r="F5" s="2">
        <f>TRIM(D5)</f>
        <v/>
      </c>
      <c r="G5" s="2">
        <f>IFERROR(VLOOKUP(TRIM(D5),'Co so du lieu virus'!$A$2:$C$20,2,FALSE),"Chưa xác định")</f>
        <v/>
      </c>
      <c r="H5" s="2">
        <f>IFERROR(VLOOKUP(TRIM(D5),'Co so du lieu virus'!$A$2:$C$20,3,FALSE),"Cần phân tích bổ sung")</f>
        <v/>
      </c>
    </row>
    <row r="6">
      <c r="A6" s="2" t="inlineStr">
        <is>
          <t>2026-10-20 10:05</t>
        </is>
      </c>
      <c r="B6" s="2" t="inlineStr">
        <is>
          <t>SRV-FILE-01</t>
        </is>
      </c>
      <c r="C6" s="2" t="inlineStr">
        <is>
          <t>AL-1005</t>
        </is>
      </c>
      <c r="D6" s="2" t="inlineStr">
        <is>
          <t xml:space="preserve"> Trojan.Emotet</t>
        </is>
      </c>
      <c r="E6" s="2" t="inlineStr">
        <is>
          <t>Cao</t>
        </is>
      </c>
      <c r="F6" s="2">
        <f>TRIM(D6)</f>
        <v/>
      </c>
      <c r="G6" s="2">
        <f>IFERROR(VLOOKUP(TRIM(D6),'Co so du lieu virus'!$A$2:$C$20,2,FALSE),"Chưa xác định")</f>
        <v/>
      </c>
      <c r="H6" s="2">
        <f>IFERROR(VLOOKUP(TRIM(D6),'Co so du lieu virus'!$A$2:$C$20,3,FALSE),"Cần phân tích bổ sung")</f>
        <v/>
      </c>
    </row>
    <row r="7">
      <c r="A7" s="2" t="inlineStr">
        <is>
          <t>2026-10-20 10:42</t>
        </is>
      </c>
      <c r="B7" s="2" t="inlineStr">
        <is>
          <t>WS-OPS-008</t>
        </is>
      </c>
      <c r="C7" s="2" t="inlineStr">
        <is>
          <t>AL-1006</t>
        </is>
      </c>
      <c r="D7" s="2" t="inlineStr">
        <is>
          <t xml:space="preserve">Spyware.Agent  </t>
        </is>
      </c>
      <c r="E7" s="2" t="inlineStr">
        <is>
          <t>Cao</t>
        </is>
      </c>
      <c r="F7" s="2">
        <f>TRIM(D7)</f>
        <v/>
      </c>
      <c r="G7" s="2">
        <f>IFERROR(VLOOKUP(TRIM(D7),'Co so du lieu virus'!$A$2:$C$20,2,FALSE),"Chưa xác định")</f>
        <v/>
      </c>
      <c r="H7" s="2">
        <f>IFERROR(VLOOKUP(TRIM(D7),'Co so du lieu virus'!$A$2:$C$20,3,FALSE),"Cần phân tích bổ sung")</f>
        <v/>
      </c>
    </row>
    <row r="8">
      <c r="A8" s="2" t="inlineStr">
        <is>
          <t>2026-10-20 11:17</t>
        </is>
      </c>
      <c r="B8" s="2" t="inlineStr">
        <is>
          <t>WS-ENG-019</t>
        </is>
      </c>
      <c r="C8" s="2" t="inlineStr">
        <is>
          <t>AL-1007</t>
        </is>
      </c>
      <c r="D8" s="2" t="inlineStr">
        <is>
          <t xml:space="preserve">Worm.Conficker </t>
        </is>
      </c>
      <c r="E8" s="2" t="inlineStr">
        <is>
          <t>Nghiêm trọng</t>
        </is>
      </c>
      <c r="F8" s="2">
        <f>TRIM(D8)</f>
        <v/>
      </c>
      <c r="G8" s="2">
        <f>IFERROR(VLOOKUP(TRIM(D8),'Co so du lieu virus'!$A$2:$C$20,2,FALSE),"Chưa xác định")</f>
        <v/>
      </c>
      <c r="H8" s="2">
        <f>IFERROR(VLOOKUP(TRIM(D8),'Co so du lieu virus'!$A$2:$C$20,3,FALSE),"Cần phân tích bổ sung")</f>
        <v/>
      </c>
    </row>
    <row r="9">
      <c r="A9" s="2" t="inlineStr">
        <is>
          <t>2026-10-20 11:48</t>
        </is>
      </c>
      <c r="B9" s="2" t="inlineStr">
        <is>
          <t>WS-MKT-004</t>
        </is>
      </c>
      <c r="C9" s="2" t="inlineStr">
        <is>
          <t>AL-1008</t>
        </is>
      </c>
      <c r="D9" s="2" t="inlineStr">
        <is>
          <t>Unknown.Payload</t>
        </is>
      </c>
      <c r="E9" s="2" t="inlineStr">
        <is>
          <t>Thấp</t>
        </is>
      </c>
      <c r="F9" s="2">
        <f>TRIM(D9)</f>
        <v/>
      </c>
      <c r="G9" s="2">
        <f>IFERROR(VLOOKUP(TRIM(D9),'Co so du lieu virus'!$A$2:$C$20,2,FALSE),"Chưa xác định")</f>
        <v/>
      </c>
      <c r="H9" s="2">
        <f>IFERROR(VLOOKUP(TRIM(D9),'Co so du lieu virus'!$A$2:$C$20,3,FALSE),"Cần phân tích bổ sung")</f>
        <v/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85" customWidth="1" min="3" max="3"/>
  </cols>
  <sheetData>
    <row r="1" ht="32" customHeight="1">
      <c r="A1" s="1" t="inlineStr">
        <is>
          <t>Mã độc chuẩn</t>
        </is>
      </c>
      <c r="B1" s="1" t="inlineStr">
        <is>
          <t>Tên hiển thị</t>
        </is>
      </c>
      <c r="C1" s="1" t="inlineStr">
        <is>
          <t>Mô tả / Khuyến nghị</t>
        </is>
      </c>
    </row>
    <row r="2">
      <c r="A2" s="2" t="inlineStr">
        <is>
          <t>Trojan.Emotet</t>
        </is>
      </c>
      <c r="B2" s="2" t="inlineStr">
        <is>
          <t>Emotet (Trojan)</t>
        </is>
      </c>
      <c r="C2" s="2" t="inlineStr">
        <is>
          <t>Cách ly thiết bị; rà soát email và thông tin xác thực; quét toàn bộ điểm cuối.</t>
        </is>
      </c>
    </row>
    <row r="3">
      <c r="A3" s="2" t="inlineStr">
        <is>
          <t>Worm.Conficker</t>
        </is>
      </c>
      <c r="B3" s="2" t="inlineStr">
        <is>
          <t>Conficker (Worm)</t>
        </is>
      </c>
      <c r="C3" s="2" t="inlineStr">
        <is>
          <t>Cô lập máy; vá hệ điều hành; kiểm tra chia sẻ mạng và lây lan ngang.</t>
        </is>
      </c>
    </row>
    <row r="4">
      <c r="A4" s="2" t="inlineStr">
        <is>
          <t>Ransom.LockBit</t>
        </is>
      </c>
      <c r="B4" s="2" t="inlineStr">
        <is>
          <t>LockBit (Ransomware)</t>
        </is>
      </c>
      <c r="C4" s="2" t="inlineStr">
        <is>
          <t>Ngắt kết nối mạng; bảo toàn bằng chứng; khôi phục từ bản sao lưu sạch.</t>
        </is>
      </c>
    </row>
    <row r="5">
      <c r="A5" s="2" t="inlineStr">
        <is>
          <t>Adware.Generic</t>
        </is>
      </c>
      <c r="B5" s="2" t="inlineStr">
        <is>
          <t>Adware (Generic)</t>
        </is>
      </c>
      <c r="C5" s="2" t="inlineStr">
        <is>
          <t>Gỡ ứng dụng không mong muốn; kiểm tra tiện ích trình duyệt.</t>
        </is>
      </c>
    </row>
    <row r="6">
      <c r="A6" s="2" t="inlineStr">
        <is>
          <t>Spyware.Agent</t>
        </is>
      </c>
      <c r="B6" s="2" t="inlineStr">
        <is>
          <t>Agent (Spyware)</t>
        </is>
      </c>
      <c r="C6" s="2" t="inlineStr">
        <is>
          <t>Cách ly thiết bị; kiểm tra tiến trình/điểm bám trụ; đổi thông tin xác thực từ thiết bị sạch.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2026-10-26T02:51:55Z</dcterms:created>
  <dcterms:modified xmlns:dcterms="http://purl.org/dc/terms/" xmlns:xsi="http://www.w3.org/2001/XMLSchema-instance" xsi:type="dcterms:W3CDTF">2026-10-26T02:51:55Z</dcterms:modified>
</cp:coreProperties>
</file>